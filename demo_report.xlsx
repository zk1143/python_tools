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a4bbadb1e73bd08/桌面/github/python/excel_to_csv/"/>
    </mc:Choice>
  </mc:AlternateContent>
  <xr:revisionPtr revIDLastSave="210" documentId="11_FB6B9CE2CBA57387F488E2F764C7EEDF11982F3D" xr6:coauthVersionLast="47" xr6:coauthVersionMax="47" xr10:uidLastSave="{572E4334-5ABE-44DC-A0D7-1163E5E07521}"/>
  <bookViews>
    <workbookView xWindow="-120" yWindow="-120" windowWidth="38640" windowHeight="21120" xr2:uid="{00000000-000D-0000-FFFF-FFFF00000000}"/>
  </bookViews>
  <sheets>
    <sheet name="lights" sheetId="1" r:id="rId1"/>
    <sheet name="daily_repair" sheetId="2" r:id="rId2"/>
    <sheet name="daily_repair_summary" sheetId="3" r:id="rId3"/>
    <sheet name="drspeed_personal_history" sheetId="10" r:id="rId4"/>
    <sheet name="speedtext_personal_history" sheetId="11" r:id="rId5"/>
    <sheet name="penetration" sheetId="6" r:id="rId6"/>
    <sheet name="peneration_history" sheetId="15" r:id="rId7"/>
    <sheet name="swap_summary_gw" sheetId="9" r:id="rId8"/>
    <sheet name="memo" sheetId="12" r:id="rId9"/>
  </sheets>
  <definedNames>
    <definedName name="_xlnm._FilterDatabase" localSheetId="7" hidden="1">swap_summary_gw!$A$2:$E$18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G4" i="1" s="1"/>
  <c r="C5" i="1"/>
  <c r="G5" i="1" s="1"/>
  <c r="D3" i="6"/>
  <c r="E3" i="6" s="1"/>
  <c r="D4" i="6"/>
  <c r="E4" i="6" s="1"/>
  <c r="D5" i="6"/>
  <c r="D6" i="6"/>
  <c r="E5" i="6"/>
  <c r="D2" i="6"/>
  <c r="E2" i="6" s="1"/>
  <c r="E6" i="6"/>
  <c r="C3" i="1"/>
  <c r="G3" i="1" s="1"/>
  <c r="C2" i="1"/>
  <c r="G2" i="1" s="1"/>
</calcChain>
</file>

<file path=xl/sharedStrings.xml><?xml version="1.0" encoding="utf-8"?>
<sst xmlns="http://schemas.openxmlformats.org/spreadsheetml/2006/main" count="236" uniqueCount="100">
  <si>
    <t>名稱</t>
  </si>
  <si>
    <t>數值</t>
  </si>
  <si>
    <t>未處理數</t>
  </si>
  <si>
    <t>總處理數</t>
  </si>
  <si>
    <t>連結</t>
  </si>
  <si>
    <t>顏色</t>
  </si>
  <si>
    <t>人員</t>
  </si>
  <si>
    <t>月份</t>
  </si>
  <si>
    <t>2025年06月</t>
  </si>
  <si>
    <t>2025年07月</t>
  </si>
  <si>
    <t>2025年08月</t>
  </si>
  <si>
    <t>2025年09月</t>
  </si>
  <si>
    <t>2025年10月</t>
  </si>
  <si>
    <t>案件總數</t>
  </si>
  <si>
    <t>滲透率</t>
  </si>
  <si>
    <t>通報日期</t>
  </si>
  <si>
    <t>類型</t>
  </si>
  <si>
    <t>姓名</t>
  </si>
  <si>
    <t>GW</t>
  </si>
  <si>
    <t>姓名</t>
    <phoneticPr fontId="2" type="noConversion"/>
  </si>
  <si>
    <t>專線編號</t>
  </si>
  <si>
    <t>理由</t>
  </si>
  <si>
    <t>有無通報</t>
  </si>
  <si>
    <t>狀態</t>
    <phoneticPr fontId="1" type="noConversion"/>
  </si>
  <si>
    <t>2025年10月</t>
    <phoneticPr fontId="1" type="noConversion"/>
  </si>
  <si>
    <t>2025年04月</t>
    <phoneticPr fontId="1" type="noConversion"/>
  </si>
  <si>
    <t>2025年05月</t>
    <phoneticPr fontId="1" type="noConversion"/>
  </si>
  <si>
    <t>2025年8月</t>
    <phoneticPr fontId="1" type="noConversion"/>
  </si>
  <si>
    <t>2025年04月</t>
    <phoneticPr fontId="1" type="noConversion"/>
  </si>
  <si>
    <t>2025年05月</t>
    <phoneticPr fontId="1" type="noConversion"/>
  </si>
  <si>
    <t>GW</t>
    <phoneticPr fontId="1" type="noConversion"/>
  </si>
  <si>
    <t>2025年06月</t>
    <phoneticPr fontId="1" type="noConversion"/>
  </si>
  <si>
    <t>2025年07月</t>
    <phoneticPr fontId="1" type="noConversion"/>
  </si>
  <si>
    <t>2025年08月</t>
    <phoneticPr fontId="1" type="noConversion"/>
  </si>
  <si>
    <t>2025年10月</t>
    <phoneticPr fontId="1" type="noConversion"/>
  </si>
  <si>
    <t>滲透率</t>
    <phoneticPr fontId="1" type="noConversion"/>
  </si>
  <si>
    <t>reports/swap_summary_gw.html</t>
    <phoneticPr fontId="1" type="noConversion"/>
  </si>
  <si>
    <t>reports/swap_summary_wq.html</t>
    <phoneticPr fontId="1" type="noConversion"/>
  </si>
  <si>
    <t>reports/daily_repair.html</t>
    <phoneticPr fontId="1" type="noConversion"/>
  </si>
  <si>
    <t>reports/penetration.html</t>
    <phoneticPr fontId="2" type="noConversion"/>
  </si>
  <si>
    <t>無</t>
    <phoneticPr fontId="1" type="noConversion"/>
  </si>
  <si>
    <t>2025年11月</t>
    <phoneticPr fontId="1" type="noConversion"/>
  </si>
  <si>
    <t>2025年11月</t>
    <phoneticPr fontId="1" type="noConversion"/>
  </si>
  <si>
    <t>員工1</t>
    <phoneticPr fontId="1" type="noConversion"/>
  </si>
  <si>
    <t>員工2</t>
  </si>
  <si>
    <t>員工3</t>
  </si>
  <si>
    <t>員工4</t>
  </si>
  <si>
    <t>員工5</t>
  </si>
  <si>
    <t>員工6</t>
  </si>
  <si>
    <t>員工7</t>
  </si>
  <si>
    <t>員工8</t>
  </si>
  <si>
    <t>員工9</t>
  </si>
  <si>
    <t>員工10</t>
  </si>
  <si>
    <t>團隊平均</t>
    <phoneticPr fontId="1" type="noConversion"/>
  </si>
  <si>
    <t>修復率</t>
    <phoneticPr fontId="1" type="noConversion"/>
  </si>
  <si>
    <t>遭攔截數量</t>
    <phoneticPr fontId="1" type="noConversion"/>
  </si>
  <si>
    <t>設備編號</t>
    <phoneticPr fontId="1" type="noConversion"/>
  </si>
  <si>
    <t>員工11</t>
  </si>
  <si>
    <t>員工12</t>
  </si>
  <si>
    <t>員工13</t>
  </si>
  <si>
    <t>員工2</t>
    <phoneticPr fontId="1" type="noConversion"/>
  </si>
  <si>
    <t>員工3</t>
    <phoneticPr fontId="1" type="noConversion"/>
  </si>
  <si>
    <t>員工14</t>
  </si>
  <si>
    <t>員工15</t>
  </si>
  <si>
    <t>員工16</t>
  </si>
  <si>
    <t>員工17</t>
  </si>
  <si>
    <t>test063310</t>
  </si>
  <si>
    <t>test068839</t>
  </si>
  <si>
    <t>test902054</t>
  </si>
  <si>
    <t>test026722</t>
  </si>
  <si>
    <t>test014180</t>
  </si>
  <si>
    <t>test004561</t>
  </si>
  <si>
    <t>test016577</t>
  </si>
  <si>
    <t>test025052</t>
  </si>
  <si>
    <t>test017293</t>
  </si>
  <si>
    <t>test036142</t>
  </si>
  <si>
    <t>test022660</t>
  </si>
  <si>
    <t>test029999</t>
  </si>
  <si>
    <t>test016803</t>
  </si>
  <si>
    <t>test012973</t>
  </si>
  <si>
    <t>test028520</t>
  </si>
  <si>
    <t>test900358</t>
  </si>
  <si>
    <t>結案備註</t>
    <phoneticPr fontId="1" type="noConversion"/>
  </si>
  <si>
    <t>客戶不換</t>
    <phoneticPr fontId="1" type="noConversion"/>
  </si>
  <si>
    <t>設備熱當</t>
    <phoneticPr fontId="1" type="noConversion"/>
  </si>
  <si>
    <t>設備接腳不良</t>
    <phoneticPr fontId="1" type="noConversion"/>
  </si>
  <si>
    <t>變壓器問題</t>
    <phoneticPr fontId="1" type="noConversion"/>
  </si>
  <si>
    <t>使用不當人為因素</t>
    <phoneticPr fontId="1" type="noConversion"/>
  </si>
  <si>
    <t>已更新</t>
    <phoneticPr fontId="1" type="noConversion"/>
  </si>
  <si>
    <t>有</t>
    <phoneticPr fontId="1" type="noConversion"/>
  </si>
  <si>
    <t>生產線不讓動 須預約時間</t>
    <phoneticPr fontId="1" type="noConversion"/>
  </si>
  <si>
    <t>須預約時間</t>
    <phoneticPr fontId="1" type="noConversion"/>
  </si>
  <si>
    <t>電力問題等廠商處理後再約</t>
    <phoneticPr fontId="1" type="noConversion"/>
  </si>
  <si>
    <t>負責人出國要月中才回</t>
    <phoneticPr fontId="1" type="noConversion"/>
  </si>
  <si>
    <t>test034523</t>
  </si>
  <si>
    <t>test030643</t>
  </si>
  <si>
    <t>test038194</t>
  </si>
  <si>
    <t>test033011</t>
  </si>
  <si>
    <t>W更新率</t>
    <phoneticPr fontId="1" type="noConversion"/>
  </si>
  <si>
    <t>G更新率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</si>
</sst>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%"/>
    <numFmt numFmtId="178" formatCode="0.000_ 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Microsoft JhengHei U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77" fontId="0" fillId="0" borderId="1" xfId="0" applyNumberFormat="1" applyBorder="1"/>
    <xf numFmtId="0" fontId="0" fillId="0" borderId="1" xfId="0" applyBorder="1"/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77" fontId="0" fillId="0" borderId="2" xfId="0" applyNumberFormat="1" applyBorder="1"/>
    <xf numFmtId="0" fontId="0" fillId="2" borderId="1" xfId="0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0" fontId="0" fillId="0" borderId="1" xfId="0" applyNumberFormat="1" applyBorder="1"/>
    <xf numFmtId="0" fontId="3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2" sqref="A2"/>
    </sheetView>
  </sheetViews>
  <sheetFormatPr defaultRowHeight="15.75" x14ac:dyDescent="0.25"/>
  <cols>
    <col min="1" max="1" width="15.28515625" bestFit="1" customWidth="1"/>
    <col min="2" max="2" width="6.7109375" bestFit="1" customWidth="1"/>
    <col min="3" max="3" width="6" bestFit="1" customWidth="1"/>
    <col min="4" max="5" width="10.28515625" bestFit="1" customWidth="1"/>
    <col min="6" max="6" width="19" bestFit="1" customWidth="1"/>
    <col min="7" max="7" width="7.140625" bestFit="1" customWidth="1"/>
  </cols>
  <sheetData>
    <row r="1" spans="1:7" x14ac:dyDescent="0.25">
      <c r="A1" s="3" t="s">
        <v>0</v>
      </c>
      <c r="B1" s="3" t="s">
        <v>1</v>
      </c>
      <c r="C1" s="3" t="s">
        <v>23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11" t="s">
        <v>99</v>
      </c>
      <c r="B2" s="3">
        <v>66.7</v>
      </c>
      <c r="C2" s="3" t="str">
        <f>IF(B2&gt;=90,"綠燈",IF(B2&gt;=80,"黃燈","紅燈"))</f>
        <v>紅燈</v>
      </c>
      <c r="D2" s="3">
        <v>1</v>
      </c>
      <c r="E2" s="3">
        <v>2</v>
      </c>
      <c r="F2" s="3" t="s">
        <v>36</v>
      </c>
      <c r="G2" s="3" t="str">
        <f t="shared" ref="G2:G5" si="0">IF(C2="紅燈","red",IF(C2="黃燈","yellow","green"))</f>
        <v>red</v>
      </c>
    </row>
    <row r="3" spans="1:7" x14ac:dyDescent="0.25">
      <c r="A3" s="11" t="s">
        <v>98</v>
      </c>
      <c r="B3" s="3">
        <v>50</v>
      </c>
      <c r="C3" s="3" t="str">
        <f>IF(B3&gt;=75,"綠燈",IF(B3&gt;=70,"黃燈","紅燈"))</f>
        <v>紅燈</v>
      </c>
      <c r="D3" s="3">
        <v>2</v>
      </c>
      <c r="E3" s="3">
        <v>2</v>
      </c>
      <c r="F3" s="3" t="s">
        <v>37</v>
      </c>
      <c r="G3" s="3" t="str">
        <f t="shared" si="0"/>
        <v>red</v>
      </c>
    </row>
    <row r="4" spans="1:7" x14ac:dyDescent="0.25">
      <c r="A4" s="11" t="s">
        <v>54</v>
      </c>
      <c r="B4" s="7">
        <v>76.2</v>
      </c>
      <c r="C4" s="3" t="str">
        <f>IF(B4&gt;=70,"綠燈",IF(B4&gt;=40,"黃燈","紅燈"))</f>
        <v>綠燈</v>
      </c>
      <c r="D4" s="3">
        <v>157</v>
      </c>
      <c r="E4" s="3">
        <v>206</v>
      </c>
      <c r="F4" s="7" t="s">
        <v>38</v>
      </c>
      <c r="G4" s="3" t="str">
        <f t="shared" si="0"/>
        <v>green</v>
      </c>
    </row>
    <row r="5" spans="1:7" x14ac:dyDescent="0.25">
      <c r="A5" s="14" t="s">
        <v>35</v>
      </c>
      <c r="B5" s="3">
        <v>9</v>
      </c>
      <c r="C5" s="3" t="str">
        <f>IF(B5&gt;=20,"紅燈",IF(B5&gt;=10,"黃燈","綠燈"))</f>
        <v>綠燈</v>
      </c>
      <c r="D5" s="15">
        <v>511</v>
      </c>
      <c r="E5" s="15">
        <v>32</v>
      </c>
      <c r="F5" s="16" t="s">
        <v>39</v>
      </c>
      <c r="G5" s="3" t="str">
        <f t="shared" si="0"/>
        <v>green</v>
      </c>
    </row>
    <row r="7" spans="1:7" x14ac:dyDescent="0.25">
      <c r="D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selection activeCell="F12" sqref="F12"/>
    </sheetView>
  </sheetViews>
  <sheetFormatPr defaultRowHeight="15.75" x14ac:dyDescent="0.25"/>
  <cols>
    <col min="1" max="1" width="15.42578125" bestFit="1" customWidth="1"/>
    <col min="2" max="2" width="12.7109375" bestFit="1" customWidth="1"/>
  </cols>
  <sheetData>
    <row r="1" spans="1:2" x14ac:dyDescent="0.25">
      <c r="A1" s="3" t="s">
        <v>6</v>
      </c>
      <c r="B1" s="3" t="s">
        <v>54</v>
      </c>
    </row>
    <row r="2" spans="1:2" x14ac:dyDescent="0.25">
      <c r="A2" s="3" t="s">
        <v>43</v>
      </c>
      <c r="B2" s="6">
        <v>0.86363636363636365</v>
      </c>
    </row>
    <row r="3" spans="1:2" x14ac:dyDescent="0.25">
      <c r="A3" s="3" t="s">
        <v>44</v>
      </c>
      <c r="B3" s="6">
        <v>0.66666666666666663</v>
      </c>
    </row>
    <row r="4" spans="1:2" x14ac:dyDescent="0.25">
      <c r="A4" s="3" t="s">
        <v>45</v>
      </c>
      <c r="B4" s="6">
        <v>0.70833333333333337</v>
      </c>
    </row>
    <row r="5" spans="1:2" x14ac:dyDescent="0.25">
      <c r="A5" s="3" t="s">
        <v>46</v>
      </c>
      <c r="B5" s="6">
        <v>0.62068965517241381</v>
      </c>
    </row>
    <row r="6" spans="1:2" x14ac:dyDescent="0.25">
      <c r="A6" s="3" t="s">
        <v>47</v>
      </c>
      <c r="B6" s="6">
        <v>0.75</v>
      </c>
    </row>
    <row r="7" spans="1:2" x14ac:dyDescent="0.25">
      <c r="A7" s="3" t="s">
        <v>48</v>
      </c>
      <c r="B7" s="6">
        <v>0.94444444444444442</v>
      </c>
    </row>
    <row r="8" spans="1:2" x14ac:dyDescent="0.25">
      <c r="A8" s="3" t="s">
        <v>49</v>
      </c>
      <c r="B8" s="6">
        <v>0.82352941176470584</v>
      </c>
    </row>
    <row r="9" spans="1:2" x14ac:dyDescent="0.25">
      <c r="A9" s="3" t="s">
        <v>50</v>
      </c>
      <c r="B9" s="6">
        <v>0.75757575757575757</v>
      </c>
    </row>
    <row r="10" spans="1:2" x14ac:dyDescent="0.25">
      <c r="A10" s="3" t="s">
        <v>51</v>
      </c>
      <c r="B10" s="6">
        <v>0.88888888888888884</v>
      </c>
    </row>
    <row r="11" spans="1:2" x14ac:dyDescent="0.25">
      <c r="A11" s="3" t="s">
        <v>52</v>
      </c>
      <c r="B11" s="6">
        <v>0.7142857142857143</v>
      </c>
    </row>
    <row r="12" spans="1:2" x14ac:dyDescent="0.25">
      <c r="A12" s="3" t="s">
        <v>53</v>
      </c>
      <c r="B12" s="6">
        <v>0.76213592233009708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showGridLines="0" workbookViewId="0">
      <selection activeCell="B1" sqref="B1:L1"/>
    </sheetView>
  </sheetViews>
  <sheetFormatPr defaultRowHeight="15.75" x14ac:dyDescent="0.25"/>
  <cols>
    <col min="1" max="1" width="12.28515625" bestFit="1" customWidth="1"/>
    <col min="2" max="2" width="10.28515625" bestFit="1" customWidth="1"/>
    <col min="3" max="12" width="15.42578125" bestFit="1" customWidth="1"/>
  </cols>
  <sheetData>
    <row r="1" spans="1:12" x14ac:dyDescent="0.25">
      <c r="A1" s="3" t="s">
        <v>7</v>
      </c>
      <c r="B1" s="3" t="s">
        <v>53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</row>
    <row r="2" spans="1:12" x14ac:dyDescent="0.25">
      <c r="A2" s="3" t="s">
        <v>25</v>
      </c>
      <c r="B2" s="4">
        <v>0.69219858156028369</v>
      </c>
      <c r="C2" s="4">
        <v>0.71584699453551914</v>
      </c>
      <c r="D2" s="4">
        <v>0.74752475247524752</v>
      </c>
      <c r="E2" s="4">
        <v>0.72727272727272729</v>
      </c>
      <c r="F2" s="4">
        <v>0.58620689655172409</v>
      </c>
      <c r="G2" s="4">
        <v>0.7010309278350515</v>
      </c>
      <c r="H2" s="4">
        <v>0.58273381294964033</v>
      </c>
      <c r="I2" s="4">
        <v>0.75384615384615383</v>
      </c>
      <c r="J2" s="4">
        <v>0.70629370629370625</v>
      </c>
      <c r="K2" s="4">
        <v>0.68309859154929575</v>
      </c>
      <c r="L2" s="5"/>
    </row>
    <row r="3" spans="1:12" x14ac:dyDescent="0.25">
      <c r="A3" s="3" t="s">
        <v>26</v>
      </c>
      <c r="B3" s="4">
        <v>0.74342629482071709</v>
      </c>
      <c r="C3" s="4">
        <v>0.83006535947712423</v>
      </c>
      <c r="D3" s="4">
        <v>0.79452054794520544</v>
      </c>
      <c r="E3" s="4">
        <v>0.77868852459016391</v>
      </c>
      <c r="F3" s="4">
        <v>0.67307692307692313</v>
      </c>
      <c r="G3" s="4">
        <v>0.79699248120300747</v>
      </c>
      <c r="H3" s="4">
        <v>0.67407407407407405</v>
      </c>
      <c r="I3" s="4">
        <v>0.73228346456692917</v>
      </c>
      <c r="J3" s="4">
        <v>0.6901408450704225</v>
      </c>
      <c r="K3" s="4">
        <v>0.72340425531914898</v>
      </c>
      <c r="L3" s="5"/>
    </row>
    <row r="4" spans="1:12" x14ac:dyDescent="0.25">
      <c r="A4" s="3" t="s">
        <v>8</v>
      </c>
      <c r="B4" s="4">
        <v>0.73827851644506648</v>
      </c>
      <c r="C4" s="4">
        <v>0.81868131868131866</v>
      </c>
      <c r="D4" s="4">
        <v>0.77777777777777779</v>
      </c>
      <c r="E4" s="4">
        <v>0.73170731707317072</v>
      </c>
      <c r="F4" s="4">
        <v>0.59060402684563762</v>
      </c>
      <c r="G4" s="4">
        <v>0.76243093922651939</v>
      </c>
      <c r="H4" s="4">
        <v>0.73469387755102045</v>
      </c>
      <c r="I4" s="4">
        <v>0.70802919708029199</v>
      </c>
      <c r="J4" s="4">
        <v>0.78417266187050361</v>
      </c>
      <c r="K4" s="4">
        <v>0.70879120879120883</v>
      </c>
      <c r="L4" s="5"/>
    </row>
    <row r="5" spans="1:12" x14ac:dyDescent="0.25">
      <c r="A5" s="3" t="s">
        <v>9</v>
      </c>
      <c r="B5" s="4">
        <v>0.62566489361702127</v>
      </c>
      <c r="C5" s="4">
        <v>0.73134328358208955</v>
      </c>
      <c r="D5" s="4">
        <v>0.64516129032258063</v>
      </c>
      <c r="E5" s="4">
        <v>0.70992366412213737</v>
      </c>
      <c r="F5" s="4">
        <v>0.5816993464052288</v>
      </c>
      <c r="G5" s="4">
        <v>0.68518518518518523</v>
      </c>
      <c r="H5" s="4">
        <v>0.50867052023121384</v>
      </c>
      <c r="I5" s="4">
        <v>0.61176470588235299</v>
      </c>
      <c r="J5" s="4">
        <v>0.7010309278350515</v>
      </c>
      <c r="K5" s="4">
        <v>0.62874251497005984</v>
      </c>
      <c r="L5" s="4">
        <v>0.46478873239436619</v>
      </c>
    </row>
    <row r="6" spans="1:12" x14ac:dyDescent="0.25">
      <c r="A6" s="3" t="s">
        <v>10</v>
      </c>
      <c r="B6" s="4">
        <v>0.68791208791208791</v>
      </c>
      <c r="C6" s="4">
        <v>0.75776397515527949</v>
      </c>
      <c r="D6" s="4">
        <v>0.76923076923076927</v>
      </c>
      <c r="E6" s="4">
        <v>0.71257485029940115</v>
      </c>
      <c r="F6" s="4">
        <v>0.64238410596026485</v>
      </c>
      <c r="G6" s="4">
        <v>0.59036144578313254</v>
      </c>
      <c r="H6" s="4">
        <v>0.63157894736842102</v>
      </c>
      <c r="I6" s="4">
        <v>0.74712643678160917</v>
      </c>
      <c r="J6" s="4">
        <v>0.79746835443037978</v>
      </c>
      <c r="K6" s="4">
        <v>0.68181818181818177</v>
      </c>
      <c r="L6" s="4">
        <v>0.58015267175572516</v>
      </c>
    </row>
    <row r="7" spans="1:12" x14ac:dyDescent="0.25">
      <c r="A7" s="3" t="s">
        <v>11</v>
      </c>
      <c r="B7" s="6">
        <v>0.75701684041700079</v>
      </c>
      <c r="C7" s="6">
        <v>0.76984126984126988</v>
      </c>
      <c r="D7" s="6">
        <v>0.79020979020979021</v>
      </c>
      <c r="E7" s="6">
        <v>0.74757281553398058</v>
      </c>
      <c r="F7" s="6">
        <v>0.69918699186991873</v>
      </c>
      <c r="G7" s="6">
        <v>0.75362318840579712</v>
      </c>
      <c r="H7" s="6">
        <v>0.72093023255813948</v>
      </c>
      <c r="I7" s="6">
        <v>0.74452554744525545</v>
      </c>
      <c r="J7" s="6">
        <v>0.84251968503937003</v>
      </c>
      <c r="K7" s="6">
        <v>0.79069767441860461</v>
      </c>
      <c r="L7" s="6">
        <v>0.68478260869565222</v>
      </c>
    </row>
    <row r="8" spans="1:12" x14ac:dyDescent="0.25">
      <c r="A8" s="3" t="s">
        <v>12</v>
      </c>
      <c r="B8" s="6">
        <v>0.72611464968152861</v>
      </c>
      <c r="C8" s="6">
        <v>0.58235294117647063</v>
      </c>
      <c r="D8" s="6">
        <v>0.62420382165605093</v>
      </c>
      <c r="E8" s="6">
        <v>0.5234375</v>
      </c>
      <c r="F8" s="6">
        <v>0.49019607843137253</v>
      </c>
      <c r="G8" s="6">
        <v>0.55033557046979864</v>
      </c>
      <c r="H8" s="6">
        <v>0.69230769230769229</v>
      </c>
      <c r="I8" s="6">
        <v>0.68786127167630062</v>
      </c>
      <c r="J8" s="6">
        <v>0.69852941176470584</v>
      </c>
      <c r="K8" s="6">
        <v>0.64772727272727271</v>
      </c>
      <c r="L8" s="6">
        <v>0.63239644970414199</v>
      </c>
    </row>
    <row r="9" spans="1:12" x14ac:dyDescent="0.25">
      <c r="A9" s="3" t="s">
        <v>41</v>
      </c>
      <c r="B9" s="6">
        <v>0.86363636363636365</v>
      </c>
      <c r="C9" s="6">
        <v>0.66666666666666663</v>
      </c>
      <c r="D9" s="6">
        <v>0.70833333333333337</v>
      </c>
      <c r="E9" s="6">
        <v>0.62068965517241381</v>
      </c>
      <c r="F9" s="6">
        <v>0.75</v>
      </c>
      <c r="G9" s="6">
        <v>0.94444444444444442</v>
      </c>
      <c r="H9" s="6">
        <v>0.82352941176470584</v>
      </c>
      <c r="I9" s="6">
        <v>0.75757575757575757</v>
      </c>
      <c r="J9" s="6">
        <v>0.88888888888888884</v>
      </c>
      <c r="K9" s="6">
        <v>0.7142857142857143</v>
      </c>
      <c r="L9" s="6">
        <v>0.76213592233009708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showGridLines="0" workbookViewId="0">
      <selection activeCell="B1" sqref="B1:L1"/>
    </sheetView>
  </sheetViews>
  <sheetFormatPr defaultRowHeight="15.75" x14ac:dyDescent="0.25"/>
  <cols>
    <col min="1" max="1" width="12.28515625" bestFit="1" customWidth="1"/>
    <col min="2" max="2" width="10.28515625" bestFit="1" customWidth="1"/>
    <col min="3" max="5" width="15.42578125" bestFit="1" customWidth="1"/>
    <col min="6" max="6" width="15.42578125" customWidth="1"/>
    <col min="7" max="12" width="15.42578125" bestFit="1" customWidth="1"/>
  </cols>
  <sheetData>
    <row r="1" spans="1:12" x14ac:dyDescent="0.25">
      <c r="A1" s="3" t="s">
        <v>7</v>
      </c>
      <c r="B1" s="3" t="s">
        <v>53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</row>
    <row r="2" spans="1:12" x14ac:dyDescent="0.25">
      <c r="A2" s="3" t="s">
        <v>28</v>
      </c>
      <c r="B2" s="6">
        <v>0.72297297297297303</v>
      </c>
      <c r="C2" s="6">
        <v>0.6875</v>
      </c>
      <c r="D2" s="6">
        <v>0.8</v>
      </c>
      <c r="E2" s="6">
        <v>1</v>
      </c>
      <c r="F2" s="6">
        <v>0.5</v>
      </c>
      <c r="G2" s="6">
        <v>0.46153846153846156</v>
      </c>
      <c r="H2" s="6">
        <v>0.9</v>
      </c>
      <c r="I2" s="6">
        <v>0.77777777777777779</v>
      </c>
      <c r="J2" s="6">
        <v>0.90909090909090906</v>
      </c>
      <c r="K2" s="6">
        <v>0.76470588235294112</v>
      </c>
      <c r="L2" s="10"/>
    </row>
    <row r="3" spans="1:12" x14ac:dyDescent="0.25">
      <c r="A3" s="3" t="s">
        <v>29</v>
      </c>
      <c r="B3" s="6">
        <v>0.85906040268456374</v>
      </c>
      <c r="C3" s="6">
        <v>0.9285714285714286</v>
      </c>
      <c r="D3" s="6">
        <v>0.66666666666666663</v>
      </c>
      <c r="E3" s="6">
        <v>1</v>
      </c>
      <c r="F3" s="6">
        <v>0.7</v>
      </c>
      <c r="G3" s="6">
        <v>0.8666666666666667</v>
      </c>
      <c r="H3" s="6">
        <v>0.96</v>
      </c>
      <c r="I3" s="6">
        <v>1</v>
      </c>
      <c r="J3" s="6">
        <v>0.88888888888888884</v>
      </c>
      <c r="K3" s="6">
        <v>0.88888888888888884</v>
      </c>
      <c r="L3" s="10"/>
    </row>
    <row r="4" spans="1:12" x14ac:dyDescent="0.25">
      <c r="A4" s="3" t="s">
        <v>8</v>
      </c>
      <c r="B4" s="6">
        <v>0.92215568862275454</v>
      </c>
      <c r="C4" s="6">
        <v>1</v>
      </c>
      <c r="D4" s="6">
        <v>1</v>
      </c>
      <c r="E4" s="6">
        <v>1</v>
      </c>
      <c r="F4" s="6">
        <v>0.79166666666666663</v>
      </c>
      <c r="G4" s="6">
        <v>1</v>
      </c>
      <c r="H4" s="6">
        <v>1</v>
      </c>
      <c r="I4" s="6">
        <v>0.94444444444444442</v>
      </c>
      <c r="J4" s="6">
        <v>0.82608695652173914</v>
      </c>
      <c r="K4" s="6">
        <v>0.83333333333333337</v>
      </c>
      <c r="L4" s="10"/>
    </row>
    <row r="5" spans="1:12" x14ac:dyDescent="0.25">
      <c r="A5" s="3" t="s">
        <v>9</v>
      </c>
      <c r="B5" s="6">
        <v>0.85897435897435892</v>
      </c>
      <c r="C5" s="6">
        <v>1</v>
      </c>
      <c r="D5" s="6">
        <v>1</v>
      </c>
      <c r="E5" s="6">
        <v>0.77777777777777779</v>
      </c>
      <c r="F5" s="6">
        <v>0.54545454545454541</v>
      </c>
      <c r="G5" s="6">
        <v>0.7</v>
      </c>
      <c r="H5" s="6">
        <v>1</v>
      </c>
      <c r="I5" s="6">
        <v>1</v>
      </c>
      <c r="J5" s="6">
        <v>0.89473684210526316</v>
      </c>
      <c r="K5" s="6">
        <v>0.84</v>
      </c>
      <c r="L5" s="6">
        <v>0.8</v>
      </c>
    </row>
    <row r="6" spans="1:12" x14ac:dyDescent="0.25">
      <c r="A6" s="3" t="s">
        <v>10</v>
      </c>
      <c r="B6" s="6">
        <v>0.87577639751552794</v>
      </c>
      <c r="C6" s="6">
        <v>0.91304347826086951</v>
      </c>
      <c r="D6" s="6">
        <v>0.9375</v>
      </c>
      <c r="E6" s="6">
        <v>0.9375</v>
      </c>
      <c r="F6" s="6">
        <v>0.56521739130434778</v>
      </c>
      <c r="G6" s="6">
        <v>0.95</v>
      </c>
      <c r="H6" s="6">
        <v>0.95238095238095233</v>
      </c>
      <c r="I6" s="6">
        <v>1</v>
      </c>
      <c r="J6" s="6">
        <v>0.7857142857142857</v>
      </c>
      <c r="K6" s="6">
        <v>1</v>
      </c>
      <c r="L6" s="6">
        <v>0.8571428571428571</v>
      </c>
    </row>
    <row r="7" spans="1:12" x14ac:dyDescent="0.25">
      <c r="A7" s="3" t="s">
        <v>11</v>
      </c>
      <c r="B7" s="6">
        <v>0.9375</v>
      </c>
      <c r="C7" s="6">
        <v>1</v>
      </c>
      <c r="D7" s="6">
        <v>0.95833333333333337</v>
      </c>
      <c r="E7" s="6">
        <v>1</v>
      </c>
      <c r="F7" s="6">
        <v>0.85185185185185186</v>
      </c>
      <c r="G7" s="6">
        <v>0.8571428571428571</v>
      </c>
      <c r="H7" s="6">
        <v>1</v>
      </c>
      <c r="I7" s="6">
        <v>1</v>
      </c>
      <c r="J7" s="6">
        <v>1</v>
      </c>
      <c r="K7" s="6">
        <v>0.9</v>
      </c>
      <c r="L7" s="6">
        <v>0.66666666666666663</v>
      </c>
    </row>
    <row r="8" spans="1:12" x14ac:dyDescent="0.25">
      <c r="A8" s="3" t="s">
        <v>12</v>
      </c>
      <c r="B8" s="6">
        <v>0.9285714285714286</v>
      </c>
      <c r="C8" s="6">
        <v>1</v>
      </c>
      <c r="D8" s="6">
        <v>0.95454545454545459</v>
      </c>
      <c r="E8" s="6">
        <v>1</v>
      </c>
      <c r="F8" s="6">
        <v>0.8571428571428571</v>
      </c>
      <c r="G8" s="6">
        <v>0.75</v>
      </c>
      <c r="H8" s="6">
        <v>1</v>
      </c>
      <c r="I8" s="6">
        <v>1</v>
      </c>
      <c r="J8" s="6">
        <v>0.84615384615384615</v>
      </c>
      <c r="K8" s="6">
        <v>1</v>
      </c>
      <c r="L8" s="6">
        <v>0.75</v>
      </c>
    </row>
    <row r="9" spans="1:12" x14ac:dyDescent="0.25">
      <c r="A9" s="3" t="s">
        <v>41</v>
      </c>
      <c r="B9" s="6">
        <v>1</v>
      </c>
      <c r="C9" s="6">
        <v>1</v>
      </c>
      <c r="D9" s="6">
        <v>1</v>
      </c>
      <c r="E9" s="6">
        <v>0.5</v>
      </c>
      <c r="F9" s="6"/>
      <c r="G9" s="6"/>
      <c r="H9" s="6">
        <v>1</v>
      </c>
      <c r="I9" s="6">
        <v>1</v>
      </c>
      <c r="J9" s="6">
        <v>1</v>
      </c>
      <c r="K9" s="6"/>
      <c r="L9" s="6">
        <v>0.89473684210526316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showGridLines="0" workbookViewId="0">
      <selection activeCell="J23" sqref="J23"/>
    </sheetView>
  </sheetViews>
  <sheetFormatPr defaultRowHeight="15.75" x14ac:dyDescent="0.25"/>
  <cols>
    <col min="1" max="1" width="11.85546875" customWidth="1"/>
    <col min="12" max="12" width="9.42578125" customWidth="1"/>
  </cols>
  <sheetData>
    <row r="1" spans="1:12" x14ac:dyDescent="0.25">
      <c r="A1" s="3" t="s">
        <v>7</v>
      </c>
      <c r="B1" s="3" t="s">
        <v>53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</row>
    <row r="2" spans="1:12" x14ac:dyDescent="0.25">
      <c r="A2" s="3" t="s">
        <v>28</v>
      </c>
      <c r="B2" s="4">
        <v>0.31756756756756754</v>
      </c>
      <c r="C2" s="4">
        <v>0.6875</v>
      </c>
      <c r="D2" s="4">
        <v>0.13333333333333333</v>
      </c>
      <c r="E2" s="4">
        <v>0.2</v>
      </c>
      <c r="F2" s="4">
        <v>0.2857142857142857</v>
      </c>
      <c r="G2" s="4">
        <v>0.19230769230769232</v>
      </c>
      <c r="H2" s="4">
        <v>0.2</v>
      </c>
      <c r="I2" s="4">
        <v>0.55555555555555558</v>
      </c>
      <c r="J2" s="4">
        <v>0.36363636363636365</v>
      </c>
      <c r="K2" s="4">
        <v>0.52941176470588236</v>
      </c>
      <c r="L2" s="5"/>
    </row>
    <row r="3" spans="1:12" x14ac:dyDescent="0.25">
      <c r="A3" s="3" t="s">
        <v>29</v>
      </c>
      <c r="B3" s="4">
        <v>0.38926174496644295</v>
      </c>
      <c r="C3" s="4">
        <v>0.8571428571428571</v>
      </c>
      <c r="D3" s="4">
        <v>0.38095238095238093</v>
      </c>
      <c r="E3" s="4">
        <v>0.55555555555555558</v>
      </c>
      <c r="F3" s="4">
        <v>0.1</v>
      </c>
      <c r="G3" s="4">
        <v>0.2</v>
      </c>
      <c r="H3" s="4">
        <v>0.24</v>
      </c>
      <c r="I3" s="4">
        <v>0.77777777777777779</v>
      </c>
      <c r="J3" s="4">
        <v>0.5</v>
      </c>
      <c r="K3" s="4">
        <v>0.33333333333333331</v>
      </c>
      <c r="L3" s="5"/>
    </row>
    <row r="4" spans="1:12" x14ac:dyDescent="0.25">
      <c r="A4" s="3" t="s">
        <v>8</v>
      </c>
      <c r="B4" s="4">
        <v>0.57485029940119758</v>
      </c>
      <c r="C4" s="4">
        <v>1</v>
      </c>
      <c r="D4" s="4">
        <v>0.73913043478260865</v>
      </c>
      <c r="E4" s="4">
        <v>1</v>
      </c>
      <c r="F4" s="4">
        <v>0.25</v>
      </c>
      <c r="G4" s="4">
        <v>0.40909090909090912</v>
      </c>
      <c r="H4" s="4">
        <v>0.2857142857142857</v>
      </c>
      <c r="I4" s="4">
        <v>0.77777777777777779</v>
      </c>
      <c r="J4" s="4">
        <v>0.56521739130434778</v>
      </c>
      <c r="K4" s="4">
        <v>0.72222222222222221</v>
      </c>
      <c r="L4" s="5"/>
    </row>
    <row r="5" spans="1:12" x14ac:dyDescent="0.25">
      <c r="A5" s="3" t="s">
        <v>9</v>
      </c>
      <c r="B5" s="4">
        <v>0.58333333333333337</v>
      </c>
      <c r="C5" s="4">
        <v>1</v>
      </c>
      <c r="D5" s="4">
        <v>0.8571428571428571</v>
      </c>
      <c r="E5" s="4">
        <v>0.77777777777777779</v>
      </c>
      <c r="F5" s="4">
        <v>0.18181818181818182</v>
      </c>
      <c r="G5" s="4">
        <v>0.5</v>
      </c>
      <c r="H5" s="4">
        <v>0.5</v>
      </c>
      <c r="I5" s="4">
        <v>0.81818181818181823</v>
      </c>
      <c r="J5" s="4">
        <v>0.47368421052631576</v>
      </c>
      <c r="K5" s="4">
        <v>0.48</v>
      </c>
      <c r="L5" s="4">
        <v>0.8</v>
      </c>
    </row>
    <row r="6" spans="1:12" x14ac:dyDescent="0.25">
      <c r="A6" s="3" t="s">
        <v>10</v>
      </c>
      <c r="B6" s="4">
        <v>0.54658385093167705</v>
      </c>
      <c r="C6" s="4">
        <v>0.82608695652173914</v>
      </c>
      <c r="D6" s="4">
        <v>0.5</v>
      </c>
      <c r="E6" s="4">
        <v>0.75</v>
      </c>
      <c r="F6" s="4">
        <v>0.13043478260869565</v>
      </c>
      <c r="G6" s="4">
        <v>0.6</v>
      </c>
      <c r="H6" s="4">
        <v>0.38095238095238093</v>
      </c>
      <c r="I6" s="4">
        <v>0.875</v>
      </c>
      <c r="J6" s="4">
        <v>0.5</v>
      </c>
      <c r="K6" s="4">
        <v>0.46153846153846156</v>
      </c>
      <c r="L6" s="4">
        <v>0.8571428571428571</v>
      </c>
    </row>
    <row r="7" spans="1:12" x14ac:dyDescent="0.25">
      <c r="A7" s="3" t="s">
        <v>11</v>
      </c>
      <c r="B7" s="6">
        <v>0.67613636363636365</v>
      </c>
      <c r="C7" s="6">
        <v>1</v>
      </c>
      <c r="D7" s="6">
        <v>0.70833333333333337</v>
      </c>
      <c r="E7" s="6">
        <v>1</v>
      </c>
      <c r="F7" s="6">
        <v>0.37037037037037035</v>
      </c>
      <c r="G7" s="6">
        <v>0.5714285714285714</v>
      </c>
      <c r="H7" s="6">
        <v>0.53333333333333333</v>
      </c>
      <c r="I7" s="6">
        <v>0.77777777777777779</v>
      </c>
      <c r="J7" s="6">
        <v>0.76470588235294112</v>
      </c>
      <c r="K7" s="6">
        <v>0.6</v>
      </c>
      <c r="L7" s="6">
        <v>0.66666666666666663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showGridLines="0" workbookViewId="0">
      <selection activeCell="G13" sqref="G13"/>
    </sheetView>
  </sheetViews>
  <sheetFormatPr defaultRowHeight="15.75" x14ac:dyDescent="0.25"/>
  <cols>
    <col min="1" max="1" width="12.28515625" bestFit="1" customWidth="1"/>
    <col min="2" max="2" width="10.28515625" bestFit="1" customWidth="1"/>
    <col min="3" max="3" width="15.140625" bestFit="1" customWidth="1"/>
    <col min="4" max="4" width="8.140625" style="2" bestFit="1" customWidth="1"/>
    <col min="5" max="5" width="6.140625" bestFit="1" customWidth="1"/>
  </cols>
  <sheetData>
    <row r="1" spans="1:5" x14ac:dyDescent="0.25">
      <c r="A1" s="3" t="s">
        <v>7</v>
      </c>
      <c r="B1" s="3" t="s">
        <v>13</v>
      </c>
      <c r="C1" s="3" t="s">
        <v>55</v>
      </c>
      <c r="D1" s="12" t="s">
        <v>14</v>
      </c>
      <c r="E1" s="3" t="s">
        <v>5</v>
      </c>
    </row>
    <row r="2" spans="1:5" x14ac:dyDescent="0.25">
      <c r="A2" s="3" t="s">
        <v>8</v>
      </c>
      <c r="B2" s="3">
        <v>492</v>
      </c>
      <c r="C2" s="3">
        <v>30</v>
      </c>
      <c r="D2" s="13">
        <f>C2/B2</f>
        <v>6.097560975609756E-2</v>
      </c>
      <c r="E2" s="3" t="str">
        <f>IF(D2&lt;=15, "green", "red")</f>
        <v>green</v>
      </c>
    </row>
    <row r="3" spans="1:5" x14ac:dyDescent="0.25">
      <c r="A3" s="3" t="s">
        <v>9</v>
      </c>
      <c r="B3" s="3">
        <v>523</v>
      </c>
      <c r="C3" s="3">
        <v>47</v>
      </c>
      <c r="D3" s="13">
        <f t="shared" ref="D3:D6" si="0">C3/B3</f>
        <v>8.9866156787762913E-2</v>
      </c>
      <c r="E3" s="3" t="str">
        <f t="shared" ref="E3:E6" si="1">IF(D3&lt;=15, "green", "red")</f>
        <v>green</v>
      </c>
    </row>
    <row r="4" spans="1:5" x14ac:dyDescent="0.25">
      <c r="A4" s="3" t="s">
        <v>10</v>
      </c>
      <c r="B4" s="3">
        <v>601</v>
      </c>
      <c r="C4" s="3">
        <v>50</v>
      </c>
      <c r="D4" s="13">
        <f t="shared" si="0"/>
        <v>8.3194675540765387E-2</v>
      </c>
      <c r="E4" s="3" t="str">
        <f t="shared" si="1"/>
        <v>green</v>
      </c>
    </row>
    <row r="5" spans="1:5" x14ac:dyDescent="0.25">
      <c r="A5" s="3" t="s">
        <v>11</v>
      </c>
      <c r="B5" s="3">
        <v>680</v>
      </c>
      <c r="C5" s="3">
        <v>22</v>
      </c>
      <c r="D5" s="13">
        <f t="shared" si="0"/>
        <v>3.2352941176470591E-2</v>
      </c>
      <c r="E5" s="3" t="str">
        <f t="shared" si="1"/>
        <v>green</v>
      </c>
    </row>
    <row r="6" spans="1:5" x14ac:dyDescent="0.25">
      <c r="A6" s="3" t="s">
        <v>12</v>
      </c>
      <c r="B6" s="3">
        <v>511</v>
      </c>
      <c r="C6" s="3">
        <v>32</v>
      </c>
      <c r="D6" s="13">
        <f t="shared" si="0"/>
        <v>6.262230919765166E-2</v>
      </c>
      <c r="E6" s="3" t="str">
        <f t="shared" si="1"/>
        <v>green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"/>
  <sheetViews>
    <sheetView showGridLines="0" workbookViewId="0">
      <selection activeCell="B1" sqref="B1:L1"/>
    </sheetView>
  </sheetViews>
  <sheetFormatPr defaultRowHeight="15.75" x14ac:dyDescent="0.25"/>
  <cols>
    <col min="1" max="1" width="12.28515625" bestFit="1" customWidth="1"/>
    <col min="2" max="2" width="10.28515625" bestFit="1" customWidth="1"/>
    <col min="3" max="12" width="15.42578125" bestFit="1" customWidth="1"/>
  </cols>
  <sheetData>
    <row r="1" spans="1:12" x14ac:dyDescent="0.25">
      <c r="A1" s="3" t="s">
        <v>7</v>
      </c>
      <c r="B1" s="3" t="s">
        <v>53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</row>
    <row r="2" spans="1:12" x14ac:dyDescent="0.25">
      <c r="A2" s="3" t="s">
        <v>8</v>
      </c>
      <c r="B2" s="17">
        <v>6.0999999999999999E-2</v>
      </c>
      <c r="C2" s="17">
        <v>0.15</v>
      </c>
      <c r="D2" s="17">
        <v>0.1</v>
      </c>
      <c r="E2" s="17">
        <v>0.05</v>
      </c>
      <c r="F2" s="17">
        <v>0.06</v>
      </c>
      <c r="G2" s="17">
        <v>0.09</v>
      </c>
      <c r="H2" s="17">
        <v>0.13</v>
      </c>
      <c r="I2" s="17">
        <v>0</v>
      </c>
      <c r="J2" s="17">
        <v>7.0000000000000007E-2</v>
      </c>
      <c r="K2" s="17">
        <v>0.09</v>
      </c>
      <c r="L2" s="17">
        <v>0</v>
      </c>
    </row>
    <row r="3" spans="1:12" x14ac:dyDescent="0.25">
      <c r="A3" s="3" t="s">
        <v>9</v>
      </c>
      <c r="B3" s="17">
        <v>0.09</v>
      </c>
      <c r="C3" s="17">
        <v>7.0000000000000007E-2</v>
      </c>
      <c r="D3" s="17">
        <v>0.24</v>
      </c>
      <c r="E3" s="17">
        <v>0.02</v>
      </c>
      <c r="F3" s="17">
        <v>0.04</v>
      </c>
      <c r="G3" s="17">
        <v>0.12</v>
      </c>
      <c r="H3" s="17">
        <v>0.1</v>
      </c>
      <c r="I3" s="17">
        <v>0.05</v>
      </c>
      <c r="J3" s="17">
        <v>0.11</v>
      </c>
      <c r="K3" s="17">
        <v>7.0000000000000007E-2</v>
      </c>
      <c r="L3" s="17">
        <v>0.13</v>
      </c>
    </row>
    <row r="4" spans="1:12" x14ac:dyDescent="0.25">
      <c r="A4" s="3" t="s">
        <v>10</v>
      </c>
      <c r="B4" s="17">
        <v>6.3E-2</v>
      </c>
      <c r="C4" s="17">
        <v>0.04</v>
      </c>
      <c r="D4" s="17">
        <v>0.06</v>
      </c>
      <c r="E4" s="17">
        <v>0.05</v>
      </c>
      <c r="F4" s="17">
        <v>0.05</v>
      </c>
      <c r="G4" s="17">
        <v>0.14000000000000001</v>
      </c>
      <c r="H4" s="17">
        <v>7.0000000000000007E-2</v>
      </c>
      <c r="I4" s="17">
        <v>0.04</v>
      </c>
      <c r="J4" s="17">
        <v>0.06</v>
      </c>
      <c r="K4" s="17">
        <v>0.04</v>
      </c>
      <c r="L4" s="17">
        <v>0.05</v>
      </c>
    </row>
    <row r="5" spans="1:12" x14ac:dyDescent="0.25">
      <c r="A5" s="3" t="s">
        <v>11</v>
      </c>
      <c r="B5" s="17">
        <v>3.2000000000000001E-2</v>
      </c>
      <c r="C5" s="17">
        <v>2.5000000000000001E-2</v>
      </c>
      <c r="D5" s="17">
        <v>2.3E-2</v>
      </c>
      <c r="E5" s="17">
        <v>6.3E-2</v>
      </c>
      <c r="F5" s="17">
        <v>2.7000000000000003E-2</v>
      </c>
      <c r="G5" s="17">
        <v>4.0999999999999995E-2</v>
      </c>
      <c r="H5" s="17">
        <v>6.2E-2</v>
      </c>
      <c r="I5" s="17">
        <v>1.8000000000000002E-2</v>
      </c>
      <c r="J5" s="17">
        <v>1.7000000000000001E-2</v>
      </c>
      <c r="K5" s="17">
        <v>2.7999999999999997E-2</v>
      </c>
      <c r="L5" s="17">
        <v>2.8999999999999998E-2</v>
      </c>
    </row>
    <row r="6" spans="1:12" x14ac:dyDescent="0.25">
      <c r="A6" s="3" t="s">
        <v>12</v>
      </c>
      <c r="B6" s="17">
        <v>6.3E-2</v>
      </c>
      <c r="C6" s="17">
        <v>6.3E-2</v>
      </c>
      <c r="D6" s="17">
        <v>4.2000000000000003E-2</v>
      </c>
      <c r="E6" s="17">
        <v>6.7000000000000004E-2</v>
      </c>
      <c r="F6" s="17">
        <v>3.6000000000000004E-2</v>
      </c>
      <c r="G6" s="17">
        <v>7.6999999999999999E-2</v>
      </c>
      <c r="H6" s="17">
        <v>0.105</v>
      </c>
      <c r="I6" s="17">
        <v>6.8000000000000005E-2</v>
      </c>
      <c r="J6" s="17">
        <v>4.2999999999999997E-2</v>
      </c>
      <c r="K6" s="17">
        <v>9.8000000000000004E-2</v>
      </c>
      <c r="L6" s="17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9"/>
  <sheetViews>
    <sheetView showGridLines="0" workbookViewId="0">
      <selection activeCell="E2" sqref="E2:E19"/>
    </sheetView>
  </sheetViews>
  <sheetFormatPr defaultRowHeight="15.75" x14ac:dyDescent="0.25"/>
  <cols>
    <col min="1" max="1" width="13.7109375" customWidth="1"/>
    <col min="3" max="3" width="18.5703125" customWidth="1"/>
    <col min="4" max="4" width="19.42578125" customWidth="1"/>
    <col min="5" max="5" width="68.7109375" customWidth="1"/>
  </cols>
  <sheetData>
    <row r="1" spans="1:5" x14ac:dyDescent="0.25">
      <c r="A1" s="3" t="s">
        <v>7</v>
      </c>
      <c r="B1" s="3" t="s">
        <v>16</v>
      </c>
      <c r="C1" s="3" t="s">
        <v>17</v>
      </c>
      <c r="D1" s="3" t="s">
        <v>56</v>
      </c>
      <c r="E1" s="3" t="s">
        <v>82</v>
      </c>
    </row>
    <row r="2" spans="1:5" x14ac:dyDescent="0.25">
      <c r="A2" s="3" t="s">
        <v>28</v>
      </c>
      <c r="B2" s="3" t="s">
        <v>18</v>
      </c>
      <c r="C2" s="3" t="s">
        <v>43</v>
      </c>
      <c r="D2" s="3" t="s">
        <v>71</v>
      </c>
      <c r="E2" s="3" t="s">
        <v>83</v>
      </c>
    </row>
    <row r="3" spans="1:5" x14ac:dyDescent="0.25">
      <c r="A3" s="3" t="s">
        <v>28</v>
      </c>
      <c r="B3" s="3" t="s">
        <v>18</v>
      </c>
      <c r="C3" s="3" t="s">
        <v>60</v>
      </c>
      <c r="D3" s="3" t="s">
        <v>72</v>
      </c>
      <c r="E3" s="3" t="s">
        <v>83</v>
      </c>
    </row>
    <row r="4" spans="1:5" x14ac:dyDescent="0.25">
      <c r="A4" s="3" t="s">
        <v>29</v>
      </c>
      <c r="B4" s="3" t="s">
        <v>30</v>
      </c>
      <c r="C4" s="3" t="s">
        <v>43</v>
      </c>
      <c r="D4" s="7" t="s">
        <v>71</v>
      </c>
      <c r="E4" s="7" t="s">
        <v>84</v>
      </c>
    </row>
    <row r="5" spans="1:5" x14ac:dyDescent="0.25">
      <c r="A5" s="3" t="s">
        <v>31</v>
      </c>
      <c r="B5" s="3" t="s">
        <v>30</v>
      </c>
      <c r="C5" s="7" t="s">
        <v>61</v>
      </c>
      <c r="D5" s="7" t="s">
        <v>73</v>
      </c>
      <c r="E5" s="7" t="s">
        <v>85</v>
      </c>
    </row>
    <row r="6" spans="1:5" x14ac:dyDescent="0.25">
      <c r="A6" s="3" t="s">
        <v>31</v>
      </c>
      <c r="B6" s="3" t="s">
        <v>30</v>
      </c>
      <c r="C6" s="7" t="s">
        <v>46</v>
      </c>
      <c r="D6" s="7" t="s">
        <v>66</v>
      </c>
      <c r="E6" s="7" t="s">
        <v>86</v>
      </c>
    </row>
    <row r="7" spans="1:5" x14ac:dyDescent="0.25">
      <c r="A7" s="3" t="s">
        <v>32</v>
      </c>
      <c r="B7" s="3" t="s">
        <v>30</v>
      </c>
      <c r="C7" s="7" t="s">
        <v>47</v>
      </c>
      <c r="D7" s="7" t="s">
        <v>74</v>
      </c>
      <c r="E7" s="7" t="s">
        <v>87</v>
      </c>
    </row>
    <row r="8" spans="1:5" x14ac:dyDescent="0.25">
      <c r="A8" s="3" t="s">
        <v>32</v>
      </c>
      <c r="B8" s="3" t="s">
        <v>30</v>
      </c>
      <c r="C8" s="7" t="s">
        <v>48</v>
      </c>
      <c r="D8" s="7" t="s">
        <v>75</v>
      </c>
      <c r="E8" s="7" t="s">
        <v>87</v>
      </c>
    </row>
    <row r="9" spans="1:5" x14ac:dyDescent="0.25">
      <c r="A9" s="3" t="s">
        <v>32</v>
      </c>
      <c r="B9" s="3" t="s">
        <v>30</v>
      </c>
      <c r="C9" s="7" t="s">
        <v>49</v>
      </c>
      <c r="D9" s="7" t="s">
        <v>76</v>
      </c>
      <c r="E9" s="7" t="s">
        <v>84</v>
      </c>
    </row>
    <row r="10" spans="1:5" x14ac:dyDescent="0.25">
      <c r="A10" s="3" t="s">
        <v>32</v>
      </c>
      <c r="B10" s="3" t="s">
        <v>30</v>
      </c>
      <c r="C10" s="7" t="s">
        <v>50</v>
      </c>
      <c r="D10" s="7" t="s">
        <v>77</v>
      </c>
      <c r="E10" s="7" t="s">
        <v>84</v>
      </c>
    </row>
    <row r="11" spans="1:5" x14ac:dyDescent="0.25">
      <c r="A11" s="3" t="s">
        <v>33</v>
      </c>
      <c r="B11" s="3" t="s">
        <v>30</v>
      </c>
      <c r="C11" s="7" t="s">
        <v>51</v>
      </c>
      <c r="D11" s="7" t="s">
        <v>78</v>
      </c>
      <c r="E11" s="7" t="s">
        <v>84</v>
      </c>
    </row>
    <row r="12" spans="1:5" x14ac:dyDescent="0.25">
      <c r="A12" s="3" t="s">
        <v>33</v>
      </c>
      <c r="B12" s="3" t="s">
        <v>30</v>
      </c>
      <c r="C12" s="7" t="s">
        <v>52</v>
      </c>
      <c r="D12" s="7" t="s">
        <v>79</v>
      </c>
      <c r="E12" s="7" t="s">
        <v>85</v>
      </c>
    </row>
    <row r="13" spans="1:5" x14ac:dyDescent="0.25">
      <c r="A13" s="3" t="s">
        <v>34</v>
      </c>
      <c r="B13" s="3" t="s">
        <v>30</v>
      </c>
      <c r="C13" s="7" t="s">
        <v>57</v>
      </c>
      <c r="D13" s="7" t="s">
        <v>67</v>
      </c>
      <c r="E13" s="7" t="s">
        <v>87</v>
      </c>
    </row>
    <row r="14" spans="1:5" x14ac:dyDescent="0.25">
      <c r="A14" s="3" t="s">
        <v>34</v>
      </c>
      <c r="B14" s="3" t="s">
        <v>30</v>
      </c>
      <c r="C14" s="7" t="s">
        <v>58</v>
      </c>
      <c r="D14" s="7" t="s">
        <v>68</v>
      </c>
      <c r="E14" s="7" t="s">
        <v>85</v>
      </c>
    </row>
    <row r="15" spans="1:5" x14ac:dyDescent="0.25">
      <c r="A15" s="3" t="s">
        <v>34</v>
      </c>
      <c r="B15" s="3" t="s">
        <v>30</v>
      </c>
      <c r="C15" s="7" t="s">
        <v>59</v>
      </c>
      <c r="D15" s="7" t="s">
        <v>80</v>
      </c>
      <c r="E15" s="7" t="s">
        <v>84</v>
      </c>
    </row>
    <row r="16" spans="1:5" x14ac:dyDescent="0.25">
      <c r="A16" s="3" t="s">
        <v>34</v>
      </c>
      <c r="B16" s="3" t="s">
        <v>30</v>
      </c>
      <c r="C16" s="7" t="s">
        <v>62</v>
      </c>
      <c r="D16" s="3" t="s">
        <v>68</v>
      </c>
      <c r="E16" s="7" t="s">
        <v>84</v>
      </c>
    </row>
    <row r="17" spans="1:5" x14ac:dyDescent="0.25">
      <c r="A17" s="3" t="s">
        <v>24</v>
      </c>
      <c r="B17" s="3" t="s">
        <v>30</v>
      </c>
      <c r="C17" s="7" t="s">
        <v>63</v>
      </c>
      <c r="D17" s="3" t="s">
        <v>69</v>
      </c>
      <c r="E17" s="7" t="s">
        <v>85</v>
      </c>
    </row>
    <row r="18" spans="1:5" x14ac:dyDescent="0.25">
      <c r="A18" s="3" t="s">
        <v>24</v>
      </c>
      <c r="B18" s="3" t="s">
        <v>30</v>
      </c>
      <c r="C18" s="7" t="s">
        <v>64</v>
      </c>
      <c r="D18" s="3" t="s">
        <v>70</v>
      </c>
      <c r="E18" s="7" t="s">
        <v>87</v>
      </c>
    </row>
    <row r="19" spans="1:5" x14ac:dyDescent="0.25">
      <c r="A19" s="3" t="s">
        <v>42</v>
      </c>
      <c r="B19" s="3" t="s">
        <v>30</v>
      </c>
      <c r="C19" s="7" t="s">
        <v>65</v>
      </c>
      <c r="D19" s="7" t="s">
        <v>81</v>
      </c>
      <c r="E19" s="7" t="s">
        <v>87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"/>
  <sheetViews>
    <sheetView showGridLines="0" workbookViewId="0">
      <selection activeCell="D11" sqref="D11"/>
    </sheetView>
  </sheetViews>
  <sheetFormatPr defaultRowHeight="14.45" customHeight="1" x14ac:dyDescent="0.25"/>
  <cols>
    <col min="1" max="1" width="12.28515625" customWidth="1"/>
    <col min="3" max="3" width="15.28515625" customWidth="1"/>
    <col min="4" max="4" width="32.140625" customWidth="1"/>
    <col min="5" max="5" width="10.85546875" style="1" customWidth="1"/>
    <col min="6" max="6" width="9.85546875" style="1" customWidth="1"/>
  </cols>
  <sheetData>
    <row r="1" spans="1:7" ht="14.45" customHeight="1" x14ac:dyDescent="0.25">
      <c r="A1" s="3" t="s">
        <v>7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15</v>
      </c>
      <c r="G1" s="7"/>
    </row>
    <row r="2" spans="1:7" ht="14.45" customHeight="1" x14ac:dyDescent="0.25">
      <c r="A2" s="7" t="s">
        <v>27</v>
      </c>
      <c r="B2" s="7" t="s">
        <v>43</v>
      </c>
      <c r="C2" s="3" t="s">
        <v>94</v>
      </c>
      <c r="D2" s="3" t="s">
        <v>90</v>
      </c>
      <c r="E2" s="18" t="s">
        <v>40</v>
      </c>
      <c r="F2" s="8"/>
      <c r="G2" s="7"/>
    </row>
    <row r="3" spans="1:7" ht="14.45" customHeight="1" x14ac:dyDescent="0.25">
      <c r="A3" s="3" t="s">
        <v>24</v>
      </c>
      <c r="B3" s="3" t="s">
        <v>60</v>
      </c>
      <c r="C3" s="3" t="s">
        <v>95</v>
      </c>
      <c r="D3" s="9" t="s">
        <v>91</v>
      </c>
      <c r="E3" s="3" t="s">
        <v>40</v>
      </c>
      <c r="F3" s="8"/>
      <c r="G3" s="7"/>
    </row>
    <row r="4" spans="1:7" ht="14.45" customHeight="1" x14ac:dyDescent="0.25">
      <c r="A4" s="3" t="s">
        <v>24</v>
      </c>
      <c r="B4" s="3" t="s">
        <v>45</v>
      </c>
      <c r="C4" s="3" t="s">
        <v>96</v>
      </c>
      <c r="D4" s="3" t="s">
        <v>92</v>
      </c>
      <c r="E4" s="3" t="s">
        <v>89</v>
      </c>
      <c r="F4" s="8">
        <v>45945</v>
      </c>
      <c r="G4" s="3" t="s">
        <v>88</v>
      </c>
    </row>
    <row r="5" spans="1:7" ht="14.45" customHeight="1" x14ac:dyDescent="0.25">
      <c r="A5" s="3" t="s">
        <v>24</v>
      </c>
      <c r="B5" s="3" t="s">
        <v>46</v>
      </c>
      <c r="C5" s="3" t="s">
        <v>97</v>
      </c>
      <c r="D5" s="3" t="s">
        <v>93</v>
      </c>
      <c r="E5" s="3" t="s">
        <v>89</v>
      </c>
      <c r="F5" s="8">
        <v>45951</v>
      </c>
      <c r="G5" s="3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lights</vt:lpstr>
      <vt:lpstr>daily_repair</vt:lpstr>
      <vt:lpstr>daily_repair_summary</vt:lpstr>
      <vt:lpstr>drspeed_personal_history</vt:lpstr>
      <vt:lpstr>speedtext_personal_history</vt:lpstr>
      <vt:lpstr>penetration</vt:lpstr>
      <vt:lpstr>peneration_history</vt:lpstr>
      <vt:lpstr>swap_summary_gw</vt:lpstr>
      <vt:lpstr>memo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林見威</dc:creator>
  <cp:lastModifiedBy>見威 林</cp:lastModifiedBy>
  <dcterms:created xsi:type="dcterms:W3CDTF">2015-06-05T18:19:34Z</dcterms:created>
  <dcterms:modified xsi:type="dcterms:W3CDTF">2025-11-12T19:27:59Z</dcterms:modified>
</cp:coreProperties>
</file>